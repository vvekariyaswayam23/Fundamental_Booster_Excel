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Employees" sheetId="4" state="visible" r:id="rId4"/>
    <sheet xmlns:r="http://schemas.openxmlformats.org/officeDocument/2006/relationships" name="Functions" sheetId="5" state="visible" r:id="rId5"/>
  </sheets>
  <definedNames>
    <definedName name="_xlnm._FilterDatabase" localSheetId="1" hidden="1">'Students'!$A$3:$J$23</definedName>
    <definedName name="_xlnm._FilterDatabase" localSheetId="2" hidden="1">'Sales'!$A$3:$I$23</definedName>
    <definedName name="_xlnm._FilterDatabase" localSheetId="3" hidden="1">'Employees'!$A$3:$G$23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sz val="13"/>
    </font>
    <font>
      <b val="1"/>
    </font>
    <font>
      <b val="1"/>
      <color rgb="00FFFFFF"/>
      <sz val="1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9" fontId="0" fillId="0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StudentsTable" displayName="StudentsTable" ref="A3:J23" headerRowCount="1">
  <autoFilter ref="A3:J23"/>
  <tableColumns count="10">
    <tableColumn id="1" name="Student ID"/>
    <tableColumn id="2" name="Name"/>
    <tableColumn id="3" name="Math"/>
    <tableColumn id="4" name="Science"/>
    <tableColumn id="5" name="English"/>
    <tableColumn id="6" name="Enrollment Date"/>
    <tableColumn id="7" name="Grade"/>
    <tableColumn id="8" name="Math &gt; 60"/>
    <tableColumn id="9" name="Math &amp; Science &gt; 80"/>
    <tableColumn id="10" name="Age/Years Since Enroll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alesTable" displayName="SalesTable" ref="A3:I23" headerRowCount="1">
  <autoFilter ref="A3:I23"/>
  <tableColumns count="9">
    <tableColumn id="1" name="Sales ID"/>
    <tableColumn id="2" name="Product"/>
    <tableColumn id="3" name="Region"/>
    <tableColumn id="4" name="Salesperson"/>
    <tableColumn id="5" name="Amount"/>
    <tableColumn id="6" name="Date"/>
    <tableColumn id="7" name="Discount %"/>
    <tableColumn id="8" name="Discount Amount"/>
    <tableColumn id="9" name="Net Sal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mployeesTable" displayName="EmployeesTable" ref="A3:G23" headerRowCount="1">
  <autoFilter ref="A3:G23"/>
  <tableColumns count="7">
    <tableColumn id="1" name="Employee ID"/>
    <tableColumn id="2" name="Name"/>
    <tableColumn id="3" name="Department"/>
    <tableColumn id="4" name="Salary"/>
    <tableColumn id="5" name="Joining Date"/>
    <tableColumn id="6" name="Years of Service"/>
    <tableColumn id="7" name="Salary Ba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PR. 1 Fundamental Booster — Excel Project</t>
        </is>
      </c>
    </row>
    <row r="2"/>
    <row r="3" ht="30" customHeight="1">
      <c r="A3" s="2" t="inlineStr">
        <is>
          <t>Project Goal: Complete the supplied Student, Sales and Employee datasets using fundamental Excel formulas and formatting.</t>
        </is>
      </c>
    </row>
    <row r="4" ht="30" customHeight="1">
      <c r="A4" s="2" t="inlineStr">
        <is>
          <t>Sheets included: Students, Sales, Employees, Functions, README.</t>
        </is>
      </c>
    </row>
    <row r="5" ht="30" customHeight="1">
      <c r="A5" s="2" t="inlineStr">
        <is>
          <t>Students: IF grading, COUNTIFS, IF+AND, FILTER, AVERAGEIFS and date calculations.</t>
        </is>
      </c>
    </row>
    <row r="6" ht="30" customHeight="1">
      <c r="A6" s="2" t="inlineStr">
        <is>
          <t>Sales: IF discount, VLOOKUP, XLOOKUP, SUMIFS, AVERAGEIFS, INDEX/MATCH, XMATCH, INDIRECT and OFFSET.</t>
        </is>
      </c>
    </row>
    <row r="7" ht="30" customHeight="1">
      <c r="A7" s="2" t="inlineStr">
        <is>
          <t>Employees: XLOOKUP salary/name/department, joining-date analysis, years of service and salary band.</t>
        </is>
      </c>
    </row>
    <row r="8" ht="30" customHeight="1">
      <c r="A8" s="2" t="inlineStr">
        <is>
          <t>Functions: Reference formulas and examples for TEXT/string, lookup, date, math and dynamic-reference functions.</t>
        </is>
      </c>
    </row>
    <row r="9" ht="30" customHeight="1">
      <c r="A9" s="2" t="inlineStr">
        <is>
          <t>Important: Formulas are intentionally visible in cells so the workbook can be used as a learning/project submission file.</t>
        </is>
      </c>
    </row>
    <row r="10" ht="30" customHeight="1">
      <c r="A10" s="2" t="inlineStr">
        <is>
          <t>Source basis: PR. 1 Fundamental Booster Project Instructions and the supplied Employee, Sales and Students Grade datasets.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4" customWidth="1" min="7" max="7"/>
    <col width="14" customWidth="1" min="8" max="8"/>
    <col width="21" customWidth="1" min="9" max="9"/>
    <col width="22" customWidth="1" min="10" max="10"/>
  </cols>
  <sheetData>
    <row r="1">
      <c r="A1" s="3" t="inlineStr">
        <is>
          <t>Students Grade Analysis</t>
        </is>
      </c>
    </row>
    <row r="2"/>
    <row r="3">
      <c r="A3" s="4" t="inlineStr">
        <is>
          <t>Student ID</t>
        </is>
      </c>
      <c r="B3" s="4" t="inlineStr">
        <is>
          <t>Name</t>
        </is>
      </c>
      <c r="C3" s="4" t="inlineStr">
        <is>
          <t>Math</t>
        </is>
      </c>
      <c r="D3" s="4" t="inlineStr">
        <is>
          <t>Science</t>
        </is>
      </c>
      <c r="E3" s="4" t="inlineStr">
        <is>
          <t>English</t>
        </is>
      </c>
      <c r="F3" s="4" t="inlineStr">
        <is>
          <t>Enrollment Date</t>
        </is>
      </c>
      <c r="G3" s="4" t="inlineStr">
        <is>
          <t>Grade</t>
        </is>
      </c>
      <c r="H3" s="4" t="inlineStr">
        <is>
          <t>Math &gt; 60</t>
        </is>
      </c>
      <c r="I3" s="4" t="inlineStr">
        <is>
          <t>Math &amp; Science &gt; 80</t>
        </is>
      </c>
      <c r="J3" s="4" t="inlineStr">
        <is>
          <t>Age/Years Since Enrollment</t>
        </is>
      </c>
    </row>
    <row r="4">
      <c r="A4" s="5" t="n">
        <v>1001</v>
      </c>
      <c r="B4" s="5" t="inlineStr">
        <is>
          <t>Student 1</t>
        </is>
      </c>
      <c r="C4" s="5" t="n">
        <v>61</v>
      </c>
      <c r="D4" s="5" t="n">
        <v>48</v>
      </c>
      <c r="E4" s="5" t="n">
        <v>76</v>
      </c>
      <c r="F4" s="6" t="n">
        <v>43101</v>
      </c>
      <c r="G4" s="2">
        <f>IF(AVERAGE(C4:E4)&gt;=80,"A",IF(AVERAGE(C4:E4)&gt;=60,"B",IF(AVERAGE(C4:E4)&gt;=50,"C","D")))</f>
        <v/>
      </c>
      <c r="H4" s="2">
        <f>IF(C4&gt;60,"Yes","No")</f>
        <v/>
      </c>
      <c r="I4" s="2">
        <f>IF(AND(C4&gt;80,D4&gt;80),"Eligible","Not Eligible")</f>
        <v/>
      </c>
      <c r="J4" s="2">
        <f>DATEDIF(F4,TODAY(),"Y")</f>
        <v/>
      </c>
    </row>
    <row r="5">
      <c r="A5" s="5" t="n">
        <v>1002</v>
      </c>
      <c r="B5" s="5" t="inlineStr">
        <is>
          <t>Student 2</t>
        </is>
      </c>
      <c r="C5" s="5" t="n">
        <v>78</v>
      </c>
      <c r="D5" s="5" t="n">
        <v>76</v>
      </c>
      <c r="E5" s="5" t="n">
        <v>70</v>
      </c>
      <c r="F5" s="6" t="n">
        <v>43281</v>
      </c>
      <c r="G5" s="2">
        <f>IF(AVERAGE(C5:E5)&gt;=80,"A",IF(AVERAGE(C5:E5)&gt;=60,"B",IF(AVERAGE(C5:E5)&gt;=50,"C","D")))</f>
        <v/>
      </c>
      <c r="H5" s="2">
        <f>IF(C5&gt;60,"Yes","No")</f>
        <v/>
      </c>
      <c r="I5" s="2">
        <f>IF(AND(C5&gt;80,D5&gt;80),"Eligible","Not Eligible")</f>
        <v/>
      </c>
      <c r="J5" s="2">
        <f>DATEDIF(F5,TODAY(),"Y")</f>
        <v/>
      </c>
    </row>
    <row r="6">
      <c r="A6" s="5" t="n">
        <v>1003</v>
      </c>
      <c r="B6" s="5" t="inlineStr">
        <is>
          <t>Student 3</t>
        </is>
      </c>
      <c r="C6" s="5" t="n">
        <v>97</v>
      </c>
      <c r="D6" s="5" t="n">
        <v>60</v>
      </c>
      <c r="E6" s="5" t="n">
        <v>51</v>
      </c>
      <c r="F6" s="6" t="n">
        <v>43461</v>
      </c>
      <c r="G6" s="2">
        <f>IF(AVERAGE(C6:E6)&gt;=80,"A",IF(AVERAGE(C6:E6)&gt;=60,"B",IF(AVERAGE(C6:E6)&gt;=50,"C","D")))</f>
        <v/>
      </c>
      <c r="H6" s="2">
        <f>IF(C6&gt;60,"Yes","No")</f>
        <v/>
      </c>
      <c r="I6" s="2">
        <f>IF(AND(C6&gt;80,D6&gt;80),"Eligible","Not Eligible")</f>
        <v/>
      </c>
      <c r="J6" s="2">
        <f>DATEDIF(F6,TODAY(),"Y")</f>
        <v/>
      </c>
    </row>
    <row r="7">
      <c r="A7" s="5" t="n">
        <v>1004</v>
      </c>
      <c r="B7" s="5" t="inlineStr">
        <is>
          <t>Student 4</t>
        </is>
      </c>
      <c r="C7" s="5" t="n">
        <v>74</v>
      </c>
      <c r="D7" s="5" t="n">
        <v>55</v>
      </c>
      <c r="E7" s="5" t="n">
        <v>46</v>
      </c>
      <c r="F7" s="6" t="n">
        <v>43641</v>
      </c>
      <c r="G7" s="2">
        <f>IF(AVERAGE(C7:E7)&gt;=80,"A",IF(AVERAGE(C7:E7)&gt;=60,"B",IF(AVERAGE(C7:E7)&gt;=50,"C","D")))</f>
        <v/>
      </c>
      <c r="H7" s="2">
        <f>IF(C7&gt;60,"Yes","No")</f>
        <v/>
      </c>
      <c r="I7" s="2">
        <f>IF(AND(C7&gt;80,D7&gt;80),"Eligible","Not Eligible")</f>
        <v/>
      </c>
      <c r="J7" s="2">
        <f>DATEDIF(F7,TODAY(),"Y")</f>
        <v/>
      </c>
    </row>
    <row r="8">
      <c r="A8" s="5" t="n">
        <v>1005</v>
      </c>
      <c r="B8" s="5" t="inlineStr">
        <is>
          <t>Student 5</t>
        </is>
      </c>
      <c r="C8" s="5" t="n">
        <v>68</v>
      </c>
      <c r="D8" s="5" t="n">
        <v>74</v>
      </c>
      <c r="E8" s="5" t="n">
        <v>84</v>
      </c>
      <c r="F8" s="6" t="n">
        <v>43821</v>
      </c>
      <c r="G8" s="2">
        <f>IF(AVERAGE(C8:E8)&gt;=80,"A",IF(AVERAGE(C8:E8)&gt;=60,"B",IF(AVERAGE(C8:E8)&gt;=50,"C","D")))</f>
        <v/>
      </c>
      <c r="H8" s="2">
        <f>IF(C8&gt;60,"Yes","No")</f>
        <v/>
      </c>
      <c r="I8" s="2">
        <f>IF(AND(C8&gt;80,D8&gt;80),"Eligible","Not Eligible")</f>
        <v/>
      </c>
      <c r="J8" s="2">
        <f>DATEDIF(F8,TODAY(),"Y")</f>
        <v/>
      </c>
    </row>
    <row r="9">
      <c r="A9" s="5" t="n">
        <v>1006</v>
      </c>
      <c r="B9" s="5" t="inlineStr">
        <is>
          <t>Student 6</t>
        </is>
      </c>
      <c r="C9" s="5" t="n">
        <v>80</v>
      </c>
      <c r="D9" s="5" t="n">
        <v>70</v>
      </c>
      <c r="E9" s="5" t="n">
        <v>65</v>
      </c>
      <c r="F9" s="6" t="n">
        <v>44001</v>
      </c>
      <c r="G9" s="2">
        <f>IF(AVERAGE(C9:E9)&gt;=80,"A",IF(AVERAGE(C9:E9)&gt;=60,"B",IF(AVERAGE(C9:E9)&gt;=50,"C","D")))</f>
        <v/>
      </c>
      <c r="H9" s="2">
        <f>IF(C9&gt;60,"Yes","No")</f>
        <v/>
      </c>
      <c r="I9" s="2">
        <f>IF(AND(C9&gt;80,D9&gt;80),"Eligible","Not Eligible")</f>
        <v/>
      </c>
      <c r="J9" s="2">
        <f>DATEDIF(F9,TODAY(),"Y")</f>
        <v/>
      </c>
    </row>
    <row r="10">
      <c r="A10" s="5" t="n">
        <v>1007</v>
      </c>
      <c r="B10" s="5" t="inlineStr">
        <is>
          <t>Student 7</t>
        </is>
      </c>
      <c r="C10" s="5" t="n">
        <v>75</v>
      </c>
      <c r="D10" s="5" t="n">
        <v>47</v>
      </c>
      <c r="E10" s="5" t="n">
        <v>78</v>
      </c>
      <c r="F10" s="6" t="n">
        <v>44181</v>
      </c>
      <c r="G10" s="2">
        <f>IF(AVERAGE(C10:E10)&gt;=80,"A",IF(AVERAGE(C10:E10)&gt;=60,"B",IF(AVERAGE(C10:E10)&gt;=50,"C","D")))</f>
        <v/>
      </c>
      <c r="H10" s="2">
        <f>IF(C10&gt;60,"Yes","No")</f>
        <v/>
      </c>
      <c r="I10" s="2">
        <f>IF(AND(C10&gt;80,D10&gt;80),"Eligible","Not Eligible")</f>
        <v/>
      </c>
      <c r="J10" s="2">
        <f>DATEDIF(F10,TODAY(),"Y")</f>
        <v/>
      </c>
    </row>
    <row r="11">
      <c r="A11" s="5" t="n">
        <v>1008</v>
      </c>
      <c r="B11" s="5" t="inlineStr">
        <is>
          <t>Student 8</t>
        </is>
      </c>
      <c r="C11" s="5" t="n">
        <v>94</v>
      </c>
      <c r="D11" s="5" t="n">
        <v>67</v>
      </c>
      <c r="E11" s="5" t="n">
        <v>64</v>
      </c>
      <c r="F11" s="6" t="n">
        <v>44361</v>
      </c>
      <c r="G11" s="2">
        <f>IF(AVERAGE(C11:E11)&gt;=80,"A",IF(AVERAGE(C11:E11)&gt;=60,"B",IF(AVERAGE(C11:E11)&gt;=50,"C","D")))</f>
        <v/>
      </c>
      <c r="H11" s="2">
        <f>IF(C11&gt;60,"Yes","No")</f>
        <v/>
      </c>
      <c r="I11" s="2">
        <f>IF(AND(C11&gt;80,D11&gt;80),"Eligible","Not Eligible")</f>
        <v/>
      </c>
      <c r="J11" s="2">
        <f>DATEDIF(F11,TODAY(),"Y")</f>
        <v/>
      </c>
    </row>
    <row r="12">
      <c r="A12" s="5" t="n">
        <v>1009</v>
      </c>
      <c r="B12" s="5" t="inlineStr">
        <is>
          <t>Student 9</t>
        </is>
      </c>
      <c r="C12" s="5" t="n">
        <v>41</v>
      </c>
      <c r="D12" s="5" t="n">
        <v>75</v>
      </c>
      <c r="E12" s="5" t="n">
        <v>56</v>
      </c>
      <c r="F12" s="6" t="n">
        <v>44541</v>
      </c>
      <c r="G12" s="2">
        <f>IF(AVERAGE(C12:E12)&gt;=80,"A",IF(AVERAGE(C12:E12)&gt;=60,"B",IF(AVERAGE(C12:E12)&gt;=50,"C","D")))</f>
        <v/>
      </c>
      <c r="H12" s="2">
        <f>IF(C12&gt;60,"Yes","No")</f>
        <v/>
      </c>
      <c r="I12" s="2">
        <f>IF(AND(C12&gt;80,D12&gt;80),"Eligible","Not Eligible")</f>
        <v/>
      </c>
      <c r="J12" s="2">
        <f>DATEDIF(F12,TODAY(),"Y")</f>
        <v/>
      </c>
    </row>
    <row r="13">
      <c r="A13" s="5" t="n">
        <v>1010</v>
      </c>
      <c r="B13" s="5" t="inlineStr">
        <is>
          <t>Student 10</t>
        </is>
      </c>
      <c r="C13" s="5" t="n">
        <v>98</v>
      </c>
      <c r="D13" s="5" t="n">
        <v>54</v>
      </c>
      <c r="E13" s="5" t="n">
        <v>58</v>
      </c>
      <c r="F13" s="6" t="n">
        <v>44721</v>
      </c>
      <c r="G13" s="2">
        <f>IF(AVERAGE(C13:E13)&gt;=80,"A",IF(AVERAGE(C13:E13)&gt;=60,"B",IF(AVERAGE(C13:E13)&gt;=50,"C","D")))</f>
        <v/>
      </c>
      <c r="H13" s="2">
        <f>IF(C13&gt;60,"Yes","No")</f>
        <v/>
      </c>
      <c r="I13" s="2">
        <f>IF(AND(C13&gt;80,D13&gt;80),"Eligible","Not Eligible")</f>
        <v/>
      </c>
      <c r="J13" s="2">
        <f>DATEDIF(F13,TODAY(),"Y")</f>
        <v/>
      </c>
    </row>
    <row r="14">
      <c r="A14" s="5" t="n">
        <v>1011</v>
      </c>
      <c r="B14" s="5" t="inlineStr">
        <is>
          <t>Student 11</t>
        </is>
      </c>
      <c r="C14" s="5" t="n">
        <v>73</v>
      </c>
      <c r="D14" s="5" t="n">
        <v>79</v>
      </c>
      <c r="E14" s="5" t="n">
        <v>53</v>
      </c>
      <c r="F14" s="6" t="n">
        <v>44901</v>
      </c>
      <c r="G14" s="2">
        <f>IF(AVERAGE(C14:E14)&gt;=80,"A",IF(AVERAGE(C14:E14)&gt;=60,"B",IF(AVERAGE(C14:E14)&gt;=50,"C","D")))</f>
        <v/>
      </c>
      <c r="H14" s="2">
        <f>IF(C14&gt;60,"Yes","No")</f>
        <v/>
      </c>
      <c r="I14" s="2">
        <f>IF(AND(C14&gt;80,D14&gt;80),"Eligible","Not Eligible")</f>
        <v/>
      </c>
      <c r="J14" s="2">
        <f>DATEDIF(F14,TODAY(),"Y")</f>
        <v/>
      </c>
    </row>
    <row r="15">
      <c r="A15" s="5" t="n">
        <v>1012</v>
      </c>
      <c r="B15" s="5" t="inlineStr">
        <is>
          <t>Student 12</t>
        </is>
      </c>
      <c r="C15" s="5" t="n">
        <v>85</v>
      </c>
      <c r="D15" s="5" t="n">
        <v>89</v>
      </c>
      <c r="E15" s="5" t="n">
        <v>79</v>
      </c>
      <c r="F15" s="6" t="n">
        <v>45081</v>
      </c>
      <c r="G15" s="2">
        <f>IF(AVERAGE(C15:E15)&gt;=80,"A",IF(AVERAGE(C15:E15)&gt;=60,"B",IF(AVERAGE(C15:E15)&gt;=50,"C","D")))</f>
        <v/>
      </c>
      <c r="H15" s="2">
        <f>IF(C15&gt;60,"Yes","No")</f>
        <v/>
      </c>
      <c r="I15" s="2">
        <f>IF(AND(C15&gt;80,D15&gt;80),"Eligible","Not Eligible")</f>
        <v/>
      </c>
      <c r="J15" s="2">
        <f>DATEDIF(F15,TODAY(),"Y")</f>
        <v/>
      </c>
    </row>
    <row r="16">
      <c r="A16" s="5" t="n">
        <v>1013</v>
      </c>
      <c r="B16" s="5" t="inlineStr">
        <is>
          <t>Student 13</t>
        </is>
      </c>
      <c r="C16" s="5" t="n">
        <v>98</v>
      </c>
      <c r="D16" s="5" t="n">
        <v>90</v>
      </c>
      <c r="E16" s="5" t="n">
        <v>97</v>
      </c>
      <c r="F16" s="6" t="n">
        <v>45261</v>
      </c>
      <c r="G16" s="2">
        <f>IF(AVERAGE(C16:E16)&gt;=80,"A",IF(AVERAGE(C16:E16)&gt;=60,"B",IF(AVERAGE(C16:E16)&gt;=50,"C","D")))</f>
        <v/>
      </c>
      <c r="H16" s="2">
        <f>IF(C16&gt;60,"Yes","No")</f>
        <v/>
      </c>
      <c r="I16" s="2">
        <f>IF(AND(C16&gt;80,D16&gt;80),"Eligible","Not Eligible")</f>
        <v/>
      </c>
      <c r="J16" s="2">
        <f>DATEDIF(F16,TODAY(),"Y")</f>
        <v/>
      </c>
    </row>
    <row r="17">
      <c r="A17" s="5" t="n">
        <v>1014</v>
      </c>
      <c r="B17" s="5" t="inlineStr">
        <is>
          <t>Student 14</t>
        </is>
      </c>
      <c r="C17" s="5" t="n">
        <v>93</v>
      </c>
      <c r="D17" s="5" t="n">
        <v>40</v>
      </c>
      <c r="E17" s="5" t="n">
        <v>44</v>
      </c>
      <c r="F17" s="6" t="n">
        <v>45441</v>
      </c>
      <c r="G17" s="2">
        <f>IF(AVERAGE(C17:E17)&gt;=80,"A",IF(AVERAGE(C17:E17)&gt;=60,"B",IF(AVERAGE(C17:E17)&gt;=50,"C","D")))</f>
        <v/>
      </c>
      <c r="H17" s="2">
        <f>IF(C17&gt;60,"Yes","No")</f>
        <v/>
      </c>
      <c r="I17" s="2">
        <f>IF(AND(C17&gt;80,D17&gt;80),"Eligible","Not Eligible")</f>
        <v/>
      </c>
      <c r="J17" s="2">
        <f>DATEDIF(F17,TODAY(),"Y")</f>
        <v/>
      </c>
    </row>
    <row r="18">
      <c r="A18" s="5" t="n">
        <v>1015</v>
      </c>
      <c r="B18" s="5" t="inlineStr">
        <is>
          <t>Student 15</t>
        </is>
      </c>
      <c r="C18" s="5" t="n">
        <v>70</v>
      </c>
      <c r="D18" s="5" t="n">
        <v>51</v>
      </c>
      <c r="E18" s="5" t="n">
        <v>75</v>
      </c>
      <c r="F18" s="6" t="n">
        <v>45621</v>
      </c>
      <c r="G18" s="2">
        <f>IF(AVERAGE(C18:E18)&gt;=80,"A",IF(AVERAGE(C18:E18)&gt;=60,"B",IF(AVERAGE(C18:E18)&gt;=50,"C","D")))</f>
        <v/>
      </c>
      <c r="H18" s="2">
        <f>IF(C18&gt;60,"Yes","No")</f>
        <v/>
      </c>
      <c r="I18" s="2">
        <f>IF(AND(C18&gt;80,D18&gt;80),"Eligible","Not Eligible")</f>
        <v/>
      </c>
      <c r="J18" s="2">
        <f>DATEDIF(F18,TODAY(),"Y")</f>
        <v/>
      </c>
    </row>
    <row r="19">
      <c r="A19" s="5" t="n">
        <v>1016</v>
      </c>
      <c r="B19" s="5" t="inlineStr">
        <is>
          <t>Student 16</t>
        </is>
      </c>
      <c r="C19" s="5" t="n">
        <v>98</v>
      </c>
      <c r="D19" s="5" t="n">
        <v>77</v>
      </c>
      <c r="E19" s="5" t="n">
        <v>60</v>
      </c>
      <c r="F19" s="6" t="n">
        <v>45801</v>
      </c>
      <c r="G19" s="2">
        <f>IF(AVERAGE(C19:E19)&gt;=80,"A",IF(AVERAGE(C19:E19)&gt;=60,"B",IF(AVERAGE(C19:E19)&gt;=50,"C","D")))</f>
        <v/>
      </c>
      <c r="H19" s="2">
        <f>IF(C19&gt;60,"Yes","No")</f>
        <v/>
      </c>
      <c r="I19" s="2">
        <f>IF(AND(C19&gt;80,D19&gt;80),"Eligible","Not Eligible")</f>
        <v/>
      </c>
      <c r="J19" s="2">
        <f>DATEDIF(F19,TODAY(),"Y")</f>
        <v/>
      </c>
    </row>
    <row r="20">
      <c r="A20" s="5" t="n">
        <v>1017</v>
      </c>
      <c r="B20" s="5" t="inlineStr">
        <is>
          <t>Student 17</t>
        </is>
      </c>
      <c r="C20" s="5" t="n">
        <v>66</v>
      </c>
      <c r="D20" s="5" t="n">
        <v>59</v>
      </c>
      <c r="E20" s="5" t="n">
        <v>40</v>
      </c>
      <c r="F20" s="6" t="n">
        <v>45981</v>
      </c>
      <c r="G20" s="2">
        <f>IF(AVERAGE(C20:E20)&gt;=80,"A",IF(AVERAGE(C20:E20)&gt;=60,"B",IF(AVERAGE(C20:E20)&gt;=50,"C","D")))</f>
        <v/>
      </c>
      <c r="H20" s="2">
        <f>IF(C20&gt;60,"Yes","No")</f>
        <v/>
      </c>
      <c r="I20" s="2">
        <f>IF(AND(C20&gt;80,D20&gt;80),"Eligible","Not Eligible")</f>
        <v/>
      </c>
      <c r="J20" s="2">
        <f>DATEDIF(F20,TODAY(),"Y")</f>
        <v/>
      </c>
    </row>
    <row r="21">
      <c r="A21" s="5" t="n">
        <v>1018</v>
      </c>
      <c r="B21" s="5" t="inlineStr">
        <is>
          <t>Student 18</t>
        </is>
      </c>
      <c r="C21" s="5" t="n">
        <v>82</v>
      </c>
      <c r="D21" s="5" t="n">
        <v>48</v>
      </c>
      <c r="E21" s="5" t="n">
        <v>79</v>
      </c>
      <c r="F21" s="6" t="n">
        <v>46161</v>
      </c>
      <c r="G21" s="2">
        <f>IF(AVERAGE(C21:E21)&gt;=80,"A",IF(AVERAGE(C21:E21)&gt;=60,"B",IF(AVERAGE(C21:E21)&gt;=50,"C","D")))</f>
        <v/>
      </c>
      <c r="H21" s="2">
        <f>IF(C21&gt;60,"Yes","No")</f>
        <v/>
      </c>
      <c r="I21" s="2">
        <f>IF(AND(C21&gt;80,D21&gt;80),"Eligible","Not Eligible")</f>
        <v/>
      </c>
      <c r="J21" s="2">
        <f>DATEDIF(F21,TODAY(),"Y")</f>
        <v/>
      </c>
    </row>
    <row r="22">
      <c r="A22" s="5" t="n">
        <v>1019</v>
      </c>
      <c r="B22" s="5" t="inlineStr">
        <is>
          <t>Student 19</t>
        </is>
      </c>
      <c r="C22" s="5" t="n">
        <v>90</v>
      </c>
      <c r="D22" s="5" t="n">
        <v>78</v>
      </c>
      <c r="E22" s="5" t="n">
        <v>60</v>
      </c>
      <c r="F22" s="6" t="n">
        <v>46341</v>
      </c>
      <c r="G22" s="2">
        <f>IF(AVERAGE(C22:E22)&gt;=80,"A",IF(AVERAGE(C22:E22)&gt;=60,"B",IF(AVERAGE(C22:E22)&gt;=50,"C","D")))</f>
        <v/>
      </c>
      <c r="H22" s="2">
        <f>IF(C22&gt;60,"Yes","No")</f>
        <v/>
      </c>
      <c r="I22" s="2">
        <f>IF(AND(C22&gt;80,D22&gt;80),"Eligible","Not Eligible")</f>
        <v/>
      </c>
      <c r="J22" s="2">
        <f>DATEDIF(F22,TODAY(),"Y")</f>
        <v/>
      </c>
    </row>
    <row r="23">
      <c r="A23" s="5" t="n">
        <v>1020</v>
      </c>
      <c r="B23" s="5" t="inlineStr">
        <is>
          <t>Student 20</t>
        </is>
      </c>
      <c r="C23" s="5" t="n">
        <v>83</v>
      </c>
      <c r="D23" s="5" t="n">
        <v>92</v>
      </c>
      <c r="E23" s="5" t="n">
        <v>55</v>
      </c>
      <c r="F23" s="6" t="n">
        <v>46521</v>
      </c>
      <c r="G23" s="2">
        <f>IF(AVERAGE(C23:E23)&gt;=80,"A",IF(AVERAGE(C23:E23)&gt;=60,"B",IF(AVERAGE(C23:E23)&gt;=50,"C","D")))</f>
        <v/>
      </c>
      <c r="H23" s="2">
        <f>IF(C23&gt;60,"Yes","No")</f>
        <v/>
      </c>
      <c r="I23" s="2">
        <f>IF(AND(C23&gt;80,D23&gt;80),"Eligible","Not Eligible")</f>
        <v/>
      </c>
      <c r="J23" s="2">
        <f>DATEDIF(F23,TODAY(),"Y")</f>
        <v/>
      </c>
    </row>
    <row r="24"/>
    <row r="25"/>
    <row r="26">
      <c r="A26" s="7" t="inlineStr">
        <is>
          <t>Student Analysis Summary</t>
        </is>
      </c>
    </row>
    <row r="27">
      <c r="A27" s="2" t="inlineStr">
        <is>
          <t>Students with Math &gt; 60</t>
        </is>
      </c>
      <c r="B27" s="2">
        <f>COUNTIFS(C4:C23,"&gt;60)</f>
        <v/>
      </c>
    </row>
    <row r="28">
      <c r="A28" s="2" t="inlineStr">
        <is>
          <t>Average score of students with Math &gt; 60</t>
        </is>
      </c>
      <c r="B28" s="2">
        <f>AVERAGEIFS(C4:C23,C4:C23,"&gt;60)</f>
        <v/>
      </c>
    </row>
    <row r="29">
      <c r="A29" s="2" t="inlineStr">
        <is>
          <t>Students with Math &amp; Science &gt; 80</t>
        </is>
      </c>
      <c r="B29" s="2">
        <f>COUNTIFS(C4:C23,"&gt;80",D4:D23,"&gt;80)</f>
        <v/>
      </c>
    </row>
    <row r="30"/>
    <row r="31">
      <c r="A31" s="8" t="inlineStr">
        <is>
          <t>FILTER: Students with average score &gt; 80</t>
        </is>
      </c>
    </row>
    <row r="32">
      <c r="A32" s="2">
        <f>FILTER(A4:J23,(C4:C23+D4:D23+E4:E23)/3&gt;80,"No students")</f>
        <v/>
      </c>
    </row>
  </sheetData>
  <autoFilter ref="A3:J23"/>
  <mergeCells count="1">
    <mergeCell ref="A1:J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4" customWidth="1" min="9" max="9"/>
  </cols>
  <sheetData>
    <row r="1">
      <c r="A1" s="3" t="inlineStr">
        <is>
          <t>Sales Analysis</t>
        </is>
      </c>
    </row>
    <row r="2"/>
    <row r="3">
      <c r="A3" s="4" t="inlineStr">
        <is>
          <t>Sales ID</t>
        </is>
      </c>
      <c r="B3" s="4" t="inlineStr">
        <is>
          <t>Product</t>
        </is>
      </c>
      <c r="C3" s="4" t="inlineStr">
        <is>
          <t>Region</t>
        </is>
      </c>
      <c r="D3" s="4" t="inlineStr">
        <is>
          <t>Salesperson</t>
        </is>
      </c>
      <c r="E3" s="4" t="inlineStr">
        <is>
          <t>Amount</t>
        </is>
      </c>
      <c r="F3" s="4" t="inlineStr">
        <is>
          <t>Date</t>
        </is>
      </c>
      <c r="G3" s="4" t="inlineStr">
        <is>
          <t>Discount %</t>
        </is>
      </c>
      <c r="H3" s="4" t="inlineStr">
        <is>
          <t>Discount Amount</t>
        </is>
      </c>
      <c r="I3" s="4" t="inlineStr">
        <is>
          <t>Net Sales</t>
        </is>
      </c>
      <c r="K3" s="9" t="inlineStr">
        <is>
          <t>Product</t>
        </is>
      </c>
      <c r="L3" s="9" t="inlineStr">
        <is>
          <t>Price</t>
        </is>
      </c>
    </row>
    <row r="4">
      <c r="A4" s="5" t="n">
        <v>2001</v>
      </c>
      <c r="B4" s="5" t="inlineStr">
        <is>
          <t>Keyboard</t>
        </is>
      </c>
      <c r="C4" s="5" t="inlineStr">
        <is>
          <t>South</t>
        </is>
      </c>
      <c r="D4" s="5" t="inlineStr">
        <is>
          <t>Person 1</t>
        </is>
      </c>
      <c r="E4" s="10" t="n">
        <v>7048</v>
      </c>
      <c r="F4" s="6" t="n">
        <v>44927</v>
      </c>
      <c r="G4" s="11">
        <f>IF(E4&gt;=40000,10%,IF(E4&gt;=20000,5%,0%))</f>
        <v/>
      </c>
      <c r="H4" s="12">
        <f>E4*G4</f>
        <v/>
      </c>
      <c r="I4" s="12">
        <f>E4-H4</f>
        <v/>
      </c>
      <c r="K4" s="2" t="inlineStr">
        <is>
          <t>Keyboard</t>
        </is>
      </c>
      <c r="L4" s="2" t="n">
        <v>1200</v>
      </c>
    </row>
    <row r="5">
      <c r="A5" s="5" t="n">
        <v>2002</v>
      </c>
      <c r="B5" s="5" t="inlineStr">
        <is>
          <t>Printer</t>
        </is>
      </c>
      <c r="C5" s="5" t="inlineStr">
        <is>
          <t>West</t>
        </is>
      </c>
      <c r="D5" s="5" t="inlineStr">
        <is>
          <t>Person 2</t>
        </is>
      </c>
      <c r="E5" s="10" t="n">
        <v>17428</v>
      </c>
      <c r="F5" s="6" t="n">
        <v>44942</v>
      </c>
      <c r="G5" s="11">
        <f>IF(E5&gt;=40000,10%,IF(E5&gt;=20000,5%,0%))</f>
        <v/>
      </c>
      <c r="H5" s="12">
        <f>E5*G5</f>
        <v/>
      </c>
      <c r="I5" s="12">
        <f>E5-H5</f>
        <v/>
      </c>
      <c r="K5" s="2" t="inlineStr">
        <is>
          <t>Printer</t>
        </is>
      </c>
      <c r="L5" s="2" t="n">
        <v>8500</v>
      </c>
    </row>
    <row r="6">
      <c r="A6" s="5" t="n">
        <v>2003</v>
      </c>
      <c r="B6" s="5" t="inlineStr">
        <is>
          <t>Mouse</t>
        </is>
      </c>
      <c r="C6" s="5" t="inlineStr">
        <is>
          <t>South</t>
        </is>
      </c>
      <c r="D6" s="5" t="inlineStr">
        <is>
          <t>Person 3</t>
        </is>
      </c>
      <c r="E6" s="10" t="n">
        <v>23672</v>
      </c>
      <c r="F6" s="6" t="n">
        <v>44957</v>
      </c>
      <c r="G6" s="11">
        <f>IF(E6&gt;=40000,10%,IF(E6&gt;=20000,5%,0%))</f>
        <v/>
      </c>
      <c r="H6" s="12">
        <f>E6*G6</f>
        <v/>
      </c>
      <c r="I6" s="12">
        <f>E6-H6</f>
        <v/>
      </c>
      <c r="K6" s="2" t="inlineStr">
        <is>
          <t>Mouse</t>
        </is>
      </c>
      <c r="L6" s="2" t="n">
        <v>700</v>
      </c>
    </row>
    <row r="7">
      <c r="A7" s="5" t="n">
        <v>2004</v>
      </c>
      <c r="B7" s="5" t="inlineStr">
        <is>
          <t>Printer</t>
        </is>
      </c>
      <c r="C7" s="5" t="inlineStr">
        <is>
          <t>East</t>
        </is>
      </c>
      <c r="D7" s="5" t="inlineStr">
        <is>
          <t>Person 4</t>
        </is>
      </c>
      <c r="E7" s="10" t="n">
        <v>5264</v>
      </c>
      <c r="F7" s="6" t="n">
        <v>44972</v>
      </c>
      <c r="G7" s="11">
        <f>IF(E7&gt;=40000,10%,IF(E7&gt;=20000,5%,0%))</f>
        <v/>
      </c>
      <c r="H7" s="12">
        <f>E7*G7</f>
        <v/>
      </c>
      <c r="I7" s="12">
        <f>E7-H7</f>
        <v/>
      </c>
      <c r="K7" s="2" t="inlineStr">
        <is>
          <t>Monitor</t>
        </is>
      </c>
      <c r="L7" s="2" t="n">
        <v>15000</v>
      </c>
    </row>
    <row r="8">
      <c r="A8" s="5" t="n">
        <v>2005</v>
      </c>
      <c r="B8" s="5" t="inlineStr">
        <is>
          <t>Keyboard</t>
        </is>
      </c>
      <c r="C8" s="5" t="inlineStr">
        <is>
          <t>North</t>
        </is>
      </c>
      <c r="D8" s="5" t="inlineStr">
        <is>
          <t>Person 5</t>
        </is>
      </c>
      <c r="E8" s="10" t="n">
        <v>43388</v>
      </c>
      <c r="F8" s="6" t="n">
        <v>44987</v>
      </c>
      <c r="G8" s="11">
        <f>IF(E8&gt;=40000,10%,IF(E8&gt;=20000,5%,0%))</f>
        <v/>
      </c>
      <c r="H8" s="12">
        <f>E8*G8</f>
        <v/>
      </c>
      <c r="I8" s="12">
        <f>E8-H8</f>
        <v/>
      </c>
      <c r="K8" s="2" t="inlineStr">
        <is>
          <t>Laptop</t>
        </is>
      </c>
      <c r="L8" s="2" t="n">
        <v>55000</v>
      </c>
    </row>
    <row r="9">
      <c r="A9" s="5" t="n">
        <v>2006</v>
      </c>
      <c r="B9" s="5" t="inlineStr">
        <is>
          <t>Mouse</t>
        </is>
      </c>
      <c r="C9" s="5" t="inlineStr">
        <is>
          <t>North</t>
        </is>
      </c>
      <c r="D9" s="5" t="inlineStr">
        <is>
          <t>Person 6</t>
        </is>
      </c>
      <c r="E9" s="10" t="n">
        <v>19757</v>
      </c>
      <c r="F9" s="6" t="n">
        <v>45002</v>
      </c>
      <c r="G9" s="11">
        <f>IF(E9&gt;=40000,10%,IF(E9&gt;=20000,5%,0%))</f>
        <v/>
      </c>
      <c r="H9" s="12">
        <f>E9*G9</f>
        <v/>
      </c>
      <c r="I9" s="12">
        <f>E9-H9</f>
        <v/>
      </c>
    </row>
    <row r="10">
      <c r="A10" s="5" t="n">
        <v>2007</v>
      </c>
      <c r="B10" s="5" t="inlineStr">
        <is>
          <t>Mouse</t>
        </is>
      </c>
      <c r="C10" s="5" t="inlineStr">
        <is>
          <t>East</t>
        </is>
      </c>
      <c r="D10" s="5" t="inlineStr">
        <is>
          <t>Person 7</t>
        </is>
      </c>
      <c r="E10" s="10" t="n">
        <v>32058</v>
      </c>
      <c r="F10" s="6" t="n">
        <v>45017</v>
      </c>
      <c r="G10" s="11">
        <f>IF(E10&gt;=40000,10%,IF(E10&gt;=20000,5%,0%))</f>
        <v/>
      </c>
      <c r="H10" s="12">
        <f>E10*G10</f>
        <v/>
      </c>
      <c r="I10" s="12">
        <f>E10-H10</f>
        <v/>
      </c>
    </row>
    <row r="11">
      <c r="A11" s="5" t="n">
        <v>2008</v>
      </c>
      <c r="B11" s="5" t="inlineStr">
        <is>
          <t>Keyboard</t>
        </is>
      </c>
      <c r="C11" s="5" t="inlineStr">
        <is>
          <t>East</t>
        </is>
      </c>
      <c r="D11" s="5" t="inlineStr">
        <is>
          <t>Person 8</t>
        </is>
      </c>
      <c r="E11" s="10" t="n">
        <v>46429</v>
      </c>
      <c r="F11" s="6" t="n">
        <v>45032</v>
      </c>
      <c r="G11" s="11">
        <f>IF(E11&gt;=40000,10%,IF(E11&gt;=20000,5%,0%))</f>
        <v/>
      </c>
      <c r="H11" s="12">
        <f>E11*G11</f>
        <v/>
      </c>
      <c r="I11" s="12">
        <f>E11-H11</f>
        <v/>
      </c>
      <c r="K11" s="2" t="inlineStr">
        <is>
          <t>VLOOKUP Product Price</t>
        </is>
      </c>
      <c r="L11" s="2">
        <f>VLOOKUP(B4,$K$4:$L$8,2,FALSE)</f>
        <v/>
      </c>
    </row>
    <row r="12">
      <c r="A12" s="5" t="n">
        <v>2009</v>
      </c>
      <c r="B12" s="5" t="inlineStr">
        <is>
          <t>Printer</t>
        </is>
      </c>
      <c r="C12" s="5" t="inlineStr">
        <is>
          <t>East</t>
        </is>
      </c>
      <c r="D12" s="5" t="inlineStr">
        <is>
          <t>Person 9</t>
        </is>
      </c>
      <c r="E12" s="10" t="n">
        <v>19746</v>
      </c>
      <c r="F12" s="6" t="n">
        <v>45047</v>
      </c>
      <c r="G12" s="11">
        <f>IF(E12&gt;=40000,10%,IF(E12&gt;=20000,5%,0%))</f>
        <v/>
      </c>
      <c r="H12" s="12">
        <f>E12*G12</f>
        <v/>
      </c>
      <c r="I12" s="12">
        <f>E12-H12</f>
        <v/>
      </c>
      <c r="K12" s="2" t="inlineStr">
        <is>
          <t>XLOOKUP Product Price</t>
        </is>
      </c>
      <c r="L12" s="2">
        <f>XLOOKUP(B4,$K$4:$K$8,$L$4:$L$8,"Not Found")</f>
        <v/>
      </c>
    </row>
    <row r="13">
      <c r="A13" s="5" t="n">
        <v>2010</v>
      </c>
      <c r="B13" s="5" t="inlineStr">
        <is>
          <t>Keyboard</t>
        </is>
      </c>
      <c r="C13" s="5" t="inlineStr">
        <is>
          <t>South</t>
        </is>
      </c>
      <c r="D13" s="5" t="inlineStr">
        <is>
          <t>Person 10</t>
        </is>
      </c>
      <c r="E13" s="10" t="n">
        <v>35185</v>
      </c>
      <c r="F13" s="6" t="n">
        <v>45062</v>
      </c>
      <c r="G13" s="11">
        <f>IF(E13&gt;=40000,10%,IF(E13&gt;=20000,5%,0%))</f>
        <v/>
      </c>
      <c r="H13" s="12">
        <f>E13*G13</f>
        <v/>
      </c>
      <c r="I13" s="12">
        <f>E13-H13</f>
        <v/>
      </c>
      <c r="K13" s="2" t="inlineStr">
        <is>
          <t>XMATCH Product Position</t>
        </is>
      </c>
      <c r="L13" s="2">
        <f>XMATCH(B4,$K$4:$K$8)</f>
        <v/>
      </c>
    </row>
    <row r="14">
      <c r="A14" s="5" t="n">
        <v>2011</v>
      </c>
      <c r="B14" s="5" t="inlineStr">
        <is>
          <t>Keyboard</t>
        </is>
      </c>
      <c r="C14" s="5" t="inlineStr">
        <is>
          <t>East</t>
        </is>
      </c>
      <c r="D14" s="5" t="inlineStr">
        <is>
          <t>Person 11</t>
        </is>
      </c>
      <c r="E14" s="10" t="n">
        <v>33920</v>
      </c>
      <c r="F14" s="6" t="n">
        <v>45077</v>
      </c>
      <c r="G14" s="11">
        <f>IF(E14&gt;=40000,10%,IF(E14&gt;=20000,5%,0%))</f>
        <v/>
      </c>
      <c r="H14" s="12">
        <f>E14*G14</f>
        <v/>
      </c>
      <c r="I14" s="12">
        <f>E14-H14</f>
        <v/>
      </c>
    </row>
    <row r="15">
      <c r="A15" s="5" t="n">
        <v>2012</v>
      </c>
      <c r="B15" s="5" t="inlineStr">
        <is>
          <t>Monitor</t>
        </is>
      </c>
      <c r="C15" s="5" t="inlineStr">
        <is>
          <t>North</t>
        </is>
      </c>
      <c r="D15" s="5" t="inlineStr">
        <is>
          <t>Person 12</t>
        </is>
      </c>
      <c r="E15" s="10" t="n">
        <v>35611</v>
      </c>
      <c r="F15" s="6" t="n">
        <v>45092</v>
      </c>
      <c r="G15" s="11">
        <f>IF(E15&gt;=40000,10%,IF(E15&gt;=20000,5%,0%))</f>
        <v/>
      </c>
      <c r="H15" s="12">
        <f>E15*G15</f>
        <v/>
      </c>
      <c r="I15" s="12">
        <f>E15-H15</f>
        <v/>
      </c>
      <c r="K15" s="2" t="inlineStr">
        <is>
          <t>SUMIFS South Keyboard</t>
        </is>
      </c>
      <c r="L15" s="2">
        <f>SUMIFS(E4:E23,C4:C23,"South",B4:B23,"Keyboard")</f>
        <v/>
      </c>
    </row>
    <row r="16">
      <c r="A16" s="5" t="n">
        <v>2013</v>
      </c>
      <c r="B16" s="5" t="inlineStr">
        <is>
          <t>Laptop</t>
        </is>
      </c>
      <c r="C16" s="5" t="inlineStr">
        <is>
          <t>East</t>
        </is>
      </c>
      <c r="D16" s="5" t="inlineStr">
        <is>
          <t>Person 13</t>
        </is>
      </c>
      <c r="E16" s="10" t="n">
        <v>15560</v>
      </c>
      <c r="F16" s="6" t="n">
        <v>45107</v>
      </c>
      <c r="G16" s="11">
        <f>IF(E16&gt;=40000,10%,IF(E16&gt;=20000,5%,0%))</f>
        <v/>
      </c>
      <c r="H16" s="12">
        <f>E16*G16</f>
        <v/>
      </c>
      <c r="I16" s="12">
        <f>E16-H16</f>
        <v/>
      </c>
      <c r="K16" s="2" t="inlineStr">
        <is>
          <t>AVERAGEIFS East</t>
        </is>
      </c>
      <c r="L16" s="2">
        <f>AVERAGEIFS(E4:E23,C4:C23,"East")</f>
        <v/>
      </c>
    </row>
    <row r="17">
      <c r="A17" s="5" t="n">
        <v>2014</v>
      </c>
      <c r="B17" s="5" t="inlineStr">
        <is>
          <t>Laptop</t>
        </is>
      </c>
      <c r="C17" s="5" t="inlineStr">
        <is>
          <t>South</t>
        </is>
      </c>
      <c r="D17" s="5" t="inlineStr">
        <is>
          <t>Person 14</t>
        </is>
      </c>
      <c r="E17" s="10" t="n">
        <v>7283</v>
      </c>
      <c r="F17" s="6" t="n">
        <v>45122</v>
      </c>
      <c r="G17" s="11">
        <f>IF(E17&gt;=40000,10%,IF(E17&gt;=20000,5%,0%))</f>
        <v/>
      </c>
      <c r="H17" s="12">
        <f>E17*G17</f>
        <v/>
      </c>
      <c r="I17" s="12">
        <f>E17-H17</f>
        <v/>
      </c>
    </row>
    <row r="18">
      <c r="A18" s="5" t="n">
        <v>2015</v>
      </c>
      <c r="B18" s="5" t="inlineStr">
        <is>
          <t>Laptop</t>
        </is>
      </c>
      <c r="C18" s="5" t="inlineStr">
        <is>
          <t>East</t>
        </is>
      </c>
      <c r="D18" s="5" t="inlineStr">
        <is>
          <t>Person 15</t>
        </is>
      </c>
      <c r="E18" s="10" t="n">
        <v>15678</v>
      </c>
      <c r="F18" s="6" t="n">
        <v>45137</v>
      </c>
      <c r="G18" s="11">
        <f>IF(E18&gt;=40000,10%,IF(E18&gt;=20000,5%,0%))</f>
        <v/>
      </c>
      <c r="H18" s="12">
        <f>E18*G18</f>
        <v/>
      </c>
      <c r="I18" s="12">
        <f>E18-H18</f>
        <v/>
      </c>
      <c r="K18" s="2" t="inlineStr">
        <is>
          <t>INDEX/MATCH Person 10</t>
        </is>
      </c>
      <c r="L18" s="2">
        <f>INDEX(E4:E23,MATCH("Person 10",D4:D23,0))</f>
        <v/>
      </c>
    </row>
    <row r="19">
      <c r="A19" s="5" t="n">
        <v>2016</v>
      </c>
      <c r="B19" s="5" t="inlineStr">
        <is>
          <t>Mouse</t>
        </is>
      </c>
      <c r="C19" s="5" t="inlineStr">
        <is>
          <t>East</t>
        </is>
      </c>
      <c r="D19" s="5" t="inlineStr">
        <is>
          <t>Person 16</t>
        </is>
      </c>
      <c r="E19" s="10" t="n">
        <v>5277</v>
      </c>
      <c r="F19" s="6" t="n">
        <v>45152</v>
      </c>
      <c r="G19" s="11">
        <f>IF(E19&gt;=40000,10%,IF(E19&gt;=20000,5%,0%))</f>
        <v/>
      </c>
      <c r="H19" s="12">
        <f>E19*G19</f>
        <v/>
      </c>
      <c r="I19" s="12">
        <f>E19-H19</f>
        <v/>
      </c>
    </row>
    <row r="20">
      <c r="A20" s="5" t="n">
        <v>2017</v>
      </c>
      <c r="B20" s="5" t="inlineStr">
        <is>
          <t>Monitor</t>
        </is>
      </c>
      <c r="C20" s="5" t="inlineStr">
        <is>
          <t>North</t>
        </is>
      </c>
      <c r="D20" s="5" t="inlineStr">
        <is>
          <t>Person 17</t>
        </is>
      </c>
      <c r="E20" s="10" t="n">
        <v>41871</v>
      </c>
      <c r="F20" s="6" t="n">
        <v>45167</v>
      </c>
      <c r="G20" s="11">
        <f>IF(E20&gt;=40000,10%,IF(E20&gt;=20000,5%,0%))</f>
        <v/>
      </c>
      <c r="H20" s="12">
        <f>E20*G20</f>
        <v/>
      </c>
      <c r="I20" s="12">
        <f>E20-H20</f>
        <v/>
      </c>
      <c r="K20" s="2" t="inlineStr">
        <is>
          <t>INDIRECT Amount first row</t>
        </is>
      </c>
      <c r="L20" s="2">
        <f>INDIRECT("E4")</f>
        <v/>
      </c>
    </row>
    <row r="21">
      <c r="A21" s="5" t="n">
        <v>2018</v>
      </c>
      <c r="B21" s="5" t="inlineStr">
        <is>
          <t>Monitor</t>
        </is>
      </c>
      <c r="C21" s="5" t="inlineStr">
        <is>
          <t>West</t>
        </is>
      </c>
      <c r="D21" s="5" t="inlineStr">
        <is>
          <t>Person 18</t>
        </is>
      </c>
      <c r="E21" s="10" t="n">
        <v>38161</v>
      </c>
      <c r="F21" s="6" t="n">
        <v>45182</v>
      </c>
      <c r="G21" s="11">
        <f>IF(E21&gt;=40000,10%,IF(E21&gt;=20000,5%,0%))</f>
        <v/>
      </c>
      <c r="H21" s="12">
        <f>E21*G21</f>
        <v/>
      </c>
      <c r="I21" s="12">
        <f>E21-H21</f>
        <v/>
      </c>
      <c r="K21" s="2" t="inlineStr">
        <is>
          <t>OFFSET Amount 2 rows down</t>
        </is>
      </c>
      <c r="L21" s="2">
        <f>OFFSET(E4,2,0)</f>
        <v/>
      </c>
    </row>
    <row r="22">
      <c r="A22" s="5" t="n">
        <v>2019</v>
      </c>
      <c r="B22" s="5" t="inlineStr">
        <is>
          <t>Mouse</t>
        </is>
      </c>
      <c r="C22" s="5" t="inlineStr">
        <is>
          <t>West</t>
        </is>
      </c>
      <c r="D22" s="5" t="inlineStr">
        <is>
          <t>Person 19</t>
        </is>
      </c>
      <c r="E22" s="10" t="n">
        <v>30436</v>
      </c>
      <c r="F22" s="6" t="n">
        <v>45197</v>
      </c>
      <c r="G22" s="11">
        <f>IF(E22&gt;=40000,10%,IF(E22&gt;=20000,5%,0%))</f>
        <v/>
      </c>
      <c r="H22" s="12">
        <f>E22*G22</f>
        <v/>
      </c>
      <c r="I22" s="12">
        <f>E22-H22</f>
        <v/>
      </c>
    </row>
    <row r="23">
      <c r="A23" s="5" t="n">
        <v>2020</v>
      </c>
      <c r="B23" s="5" t="inlineStr">
        <is>
          <t>Printer</t>
        </is>
      </c>
      <c r="C23" s="5" t="inlineStr">
        <is>
          <t>West</t>
        </is>
      </c>
      <c r="D23" s="5" t="inlineStr">
        <is>
          <t>Person 20</t>
        </is>
      </c>
      <c r="E23" s="10" t="n">
        <v>33953</v>
      </c>
      <c r="F23" s="6" t="n">
        <v>45212</v>
      </c>
      <c r="G23" s="11">
        <f>IF(E23&gt;=40000,10%,IF(E23&gt;=20000,5%,0%))</f>
        <v/>
      </c>
      <c r="H23" s="12">
        <f>E23*G23</f>
        <v/>
      </c>
      <c r="I23" s="12">
        <f>E23-H23</f>
        <v/>
      </c>
    </row>
  </sheetData>
  <autoFilter ref="A3:I23"/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4" customWidth="1" min="7" max="7"/>
  </cols>
  <sheetData>
    <row r="1">
      <c r="A1" s="3" t="inlineStr">
        <is>
          <t>Employee Analysis</t>
        </is>
      </c>
    </row>
    <row r="2"/>
    <row r="3">
      <c r="A3" s="4" t="inlineStr">
        <is>
          <t>Employee ID</t>
        </is>
      </c>
      <c r="B3" s="4" t="inlineStr">
        <is>
          <t>Name</t>
        </is>
      </c>
      <c r="C3" s="4" t="inlineStr">
        <is>
          <t>Department</t>
        </is>
      </c>
      <c r="D3" s="4" t="inlineStr">
        <is>
          <t>Salary</t>
        </is>
      </c>
      <c r="E3" s="4" t="inlineStr">
        <is>
          <t>Joining Date</t>
        </is>
      </c>
      <c r="F3" s="4" t="inlineStr">
        <is>
          <t>Years of Service</t>
        </is>
      </c>
      <c r="G3" s="4" t="inlineStr">
        <is>
          <t>Salary Band</t>
        </is>
      </c>
      <c r="I3" s="9" t="inlineStr">
        <is>
          <t>Lookup</t>
        </is>
      </c>
      <c r="J3" s="9" t="inlineStr">
        <is>
          <t>Result</t>
        </is>
      </c>
    </row>
    <row r="4">
      <c r="A4" s="5" t="n">
        <v>3001</v>
      </c>
      <c r="B4" s="5" t="inlineStr">
        <is>
          <t>Employee 1</t>
        </is>
      </c>
      <c r="C4" s="5" t="inlineStr">
        <is>
          <t>Finance</t>
        </is>
      </c>
      <c r="D4" s="10" t="n">
        <v>86766</v>
      </c>
      <c r="E4" s="6" t="n">
        <v>42005</v>
      </c>
      <c r="F4" s="2">
        <f>DATEDIF(E4,TODAY(),"Y")</f>
        <v/>
      </c>
      <c r="G4" s="2">
        <f>IF(D4&gt;=100000,"High",IF(D4&gt;=60000,"Medium","Low"))</f>
        <v/>
      </c>
      <c r="I4" s="2" t="inlineStr">
        <is>
          <t>Employee ID</t>
        </is>
      </c>
      <c r="J4" s="2" t="n">
        <v>3008</v>
      </c>
    </row>
    <row r="5">
      <c r="A5" s="5" t="n">
        <v>3002</v>
      </c>
      <c r="B5" s="5" t="inlineStr">
        <is>
          <t>Employee 2</t>
        </is>
      </c>
      <c r="C5" s="5" t="inlineStr">
        <is>
          <t>Finance</t>
        </is>
      </c>
      <c r="D5" s="10" t="n">
        <v>31943</v>
      </c>
      <c r="E5" s="6" t="n">
        <v>42255</v>
      </c>
      <c r="F5" s="2">
        <f>DATEDIF(E5,TODAY(),"Y")</f>
        <v/>
      </c>
      <c r="G5" s="2">
        <f>IF(D5&gt;=100000,"High",IF(D5&gt;=60000,"Medium","Low"))</f>
        <v/>
      </c>
      <c r="I5" s="2" t="inlineStr">
        <is>
          <t>XLOOKUP Salary</t>
        </is>
      </c>
      <c r="J5" s="2">
        <f>XLOOKUP(J4,A4:A23,D4:D23,"Not Found")</f>
        <v/>
      </c>
    </row>
    <row r="6">
      <c r="A6" s="5" t="n">
        <v>3003</v>
      </c>
      <c r="B6" s="5" t="inlineStr">
        <is>
          <t>Employee 3</t>
        </is>
      </c>
      <c r="C6" s="5" t="inlineStr">
        <is>
          <t>HR</t>
        </is>
      </c>
      <c r="D6" s="10" t="n">
        <v>63374</v>
      </c>
      <c r="E6" s="6" t="n">
        <v>42505</v>
      </c>
      <c r="F6" s="2">
        <f>DATEDIF(E6,TODAY(),"Y")</f>
        <v/>
      </c>
      <c r="G6" s="2">
        <f>IF(D6&gt;=100000,"High",IF(D6&gt;=60000,"Medium","Low"))</f>
        <v/>
      </c>
      <c r="I6" s="2" t="inlineStr">
        <is>
          <t>XLOOKUP Name</t>
        </is>
      </c>
      <c r="J6" s="2">
        <f>XLOOKUP(J4,A4:A23,B4:B23,"Not Found")</f>
        <v/>
      </c>
    </row>
    <row r="7">
      <c r="A7" s="5" t="n">
        <v>3004</v>
      </c>
      <c r="B7" s="5" t="inlineStr">
        <is>
          <t>Employee 4</t>
        </is>
      </c>
      <c r="C7" s="5" t="inlineStr">
        <is>
          <t>Finance</t>
        </is>
      </c>
      <c r="D7" s="10" t="n">
        <v>109972</v>
      </c>
      <c r="E7" s="6" t="n">
        <v>42755</v>
      </c>
      <c r="F7" s="2">
        <f>DATEDIF(E7,TODAY(),"Y")</f>
        <v/>
      </c>
      <c r="G7" s="2">
        <f>IF(D7&gt;=100000,"High",IF(D7&gt;=60000,"Medium","Low"))</f>
        <v/>
      </c>
      <c r="I7" s="2" t="inlineStr">
        <is>
          <t>XLOOKUP Department</t>
        </is>
      </c>
      <c r="J7" s="2">
        <f>XLOOKUP(J4,A4:A23,C4:C23,"Not Found")</f>
        <v/>
      </c>
    </row>
    <row r="8">
      <c r="A8" s="5" t="n">
        <v>3005</v>
      </c>
      <c r="B8" s="5" t="inlineStr">
        <is>
          <t>Employee 5</t>
        </is>
      </c>
      <c r="C8" s="5" t="inlineStr">
        <is>
          <t>IT</t>
        </is>
      </c>
      <c r="D8" s="10" t="n">
        <v>54149</v>
      </c>
      <c r="E8" s="6" t="n">
        <v>43005</v>
      </c>
      <c r="F8" s="2">
        <f>DATEDIF(E8,TODAY(),"Y")</f>
        <v/>
      </c>
      <c r="G8" s="2">
        <f>IF(D8&gt;=100000,"High",IF(D8&gt;=60000,"Medium","Low"))</f>
        <v/>
      </c>
    </row>
    <row r="9">
      <c r="A9" s="5" t="n">
        <v>3006</v>
      </c>
      <c r="B9" s="5" t="inlineStr">
        <is>
          <t>Employee 6</t>
        </is>
      </c>
      <c r="C9" s="5" t="inlineStr">
        <is>
          <t>IT</t>
        </is>
      </c>
      <c r="D9" s="10" t="n">
        <v>78689</v>
      </c>
      <c r="E9" s="6" t="n">
        <v>43255</v>
      </c>
      <c r="F9" s="2">
        <f>DATEDIF(E9,TODAY(),"Y")</f>
        <v/>
      </c>
      <c r="G9" s="2">
        <f>IF(D9&gt;=100000,"High",IF(D9&gt;=60000,"Medium","Low"))</f>
        <v/>
      </c>
    </row>
    <row r="10">
      <c r="A10" s="5" t="n">
        <v>3007</v>
      </c>
      <c r="B10" s="5" t="inlineStr">
        <is>
          <t>Employee 7</t>
        </is>
      </c>
      <c r="C10" s="5" t="inlineStr">
        <is>
          <t>Marketing</t>
        </is>
      </c>
      <c r="D10" s="10" t="n">
        <v>35960</v>
      </c>
      <c r="E10" s="6" t="n">
        <v>43505</v>
      </c>
      <c r="F10" s="2">
        <f>DATEDIF(E10,TODAY(),"Y")</f>
        <v/>
      </c>
      <c r="G10" s="2">
        <f>IF(D10&gt;=100000,"High",IF(D10&gt;=60000,"Medium","Low"))</f>
        <v/>
      </c>
    </row>
    <row r="11">
      <c r="A11" s="5" t="n">
        <v>3008</v>
      </c>
      <c r="B11" s="5" t="inlineStr">
        <is>
          <t>Employee 8</t>
        </is>
      </c>
      <c r="C11" s="5" t="inlineStr">
        <is>
          <t>IT</t>
        </is>
      </c>
      <c r="D11" s="10" t="n">
        <v>91659</v>
      </c>
      <c r="E11" s="6" t="n">
        <v>43755</v>
      </c>
      <c r="F11" s="2">
        <f>DATEDIF(E11,TODAY(),"Y")</f>
        <v/>
      </c>
      <c r="G11" s="2">
        <f>IF(D11&gt;=100000,"High",IF(D11&gt;=60000,"Medium","Low"))</f>
        <v/>
      </c>
    </row>
    <row r="12">
      <c r="A12" s="5" t="n">
        <v>3009</v>
      </c>
      <c r="B12" s="5" t="inlineStr">
        <is>
          <t>Employee 9</t>
        </is>
      </c>
      <c r="C12" s="5" t="inlineStr">
        <is>
          <t>IT</t>
        </is>
      </c>
      <c r="D12" s="10" t="n">
        <v>90423</v>
      </c>
      <c r="E12" s="6" t="n">
        <v>44005</v>
      </c>
      <c r="F12" s="2">
        <f>DATEDIF(E12,TODAY(),"Y")</f>
        <v/>
      </c>
      <c r="G12" s="2">
        <f>IF(D12&gt;=100000,"High",IF(D12&gt;=60000,"Medium","Low"))</f>
        <v/>
      </c>
    </row>
    <row r="13">
      <c r="A13" s="5" t="n">
        <v>3010</v>
      </c>
      <c r="B13" s="5" t="inlineStr">
        <is>
          <t>Employee 10</t>
        </is>
      </c>
      <c r="C13" s="5" t="inlineStr">
        <is>
          <t>HR</t>
        </is>
      </c>
      <c r="D13" s="10" t="n">
        <v>107877</v>
      </c>
      <c r="E13" s="6" t="n">
        <v>44255</v>
      </c>
      <c r="F13" s="2">
        <f>DATEDIF(E13,TODAY(),"Y")</f>
        <v/>
      </c>
      <c r="G13" s="2">
        <f>IF(D13&gt;=100000,"High",IF(D13&gt;=60000,"Medium","Low"))</f>
        <v/>
      </c>
    </row>
    <row r="14">
      <c r="A14" s="5" t="n">
        <v>3011</v>
      </c>
      <c r="B14" s="5" t="inlineStr">
        <is>
          <t>Employee 11</t>
        </is>
      </c>
      <c r="C14" s="5" t="inlineStr">
        <is>
          <t>Finance</t>
        </is>
      </c>
      <c r="D14" s="10" t="n">
        <v>107634</v>
      </c>
      <c r="E14" s="6" t="n">
        <v>44505</v>
      </c>
      <c r="F14" s="2">
        <f>DATEDIF(E14,TODAY(),"Y")</f>
        <v/>
      </c>
      <c r="G14" s="2">
        <f>IF(D14&gt;=100000,"High",IF(D14&gt;=60000,"Medium","Low"))</f>
        <v/>
      </c>
    </row>
    <row r="15">
      <c r="A15" s="5" t="n">
        <v>3012</v>
      </c>
      <c r="B15" s="5" t="inlineStr">
        <is>
          <t>Employee 12</t>
        </is>
      </c>
      <c r="C15" s="5" t="inlineStr">
        <is>
          <t>Finance</t>
        </is>
      </c>
      <c r="D15" s="10" t="n">
        <v>35226</v>
      </c>
      <c r="E15" s="6" t="n">
        <v>44755</v>
      </c>
      <c r="F15" s="2">
        <f>DATEDIF(E15,TODAY(),"Y")</f>
        <v/>
      </c>
      <c r="G15" s="2">
        <f>IF(D15&gt;=100000,"High",IF(D15&gt;=60000,"Medium","Low"))</f>
        <v/>
      </c>
    </row>
    <row r="16">
      <c r="A16" s="5" t="n">
        <v>3013</v>
      </c>
      <c r="B16" s="5" t="inlineStr">
        <is>
          <t>Employee 13</t>
        </is>
      </c>
      <c r="C16" s="5" t="inlineStr">
        <is>
          <t>HR</t>
        </is>
      </c>
      <c r="D16" s="10" t="n">
        <v>40872</v>
      </c>
      <c r="E16" s="6" t="n">
        <v>45005</v>
      </c>
      <c r="F16" s="2">
        <f>DATEDIF(E16,TODAY(),"Y")</f>
        <v/>
      </c>
      <c r="G16" s="2">
        <f>IF(D16&gt;=100000,"High",IF(D16&gt;=60000,"Medium","Low"))</f>
        <v/>
      </c>
    </row>
    <row r="17">
      <c r="A17" s="5" t="n">
        <v>3014</v>
      </c>
      <c r="B17" s="5" t="inlineStr">
        <is>
          <t>Employee 14</t>
        </is>
      </c>
      <c r="C17" s="5" t="inlineStr">
        <is>
          <t>HR</t>
        </is>
      </c>
      <c r="D17" s="10" t="n">
        <v>55378</v>
      </c>
      <c r="E17" s="6" t="n">
        <v>45255</v>
      </c>
      <c r="F17" s="2">
        <f>DATEDIF(E17,TODAY(),"Y")</f>
        <v/>
      </c>
      <c r="G17" s="2">
        <f>IF(D17&gt;=100000,"High",IF(D17&gt;=60000,"Medium","Low"))</f>
        <v/>
      </c>
    </row>
    <row r="18">
      <c r="A18" s="5" t="n">
        <v>3015</v>
      </c>
      <c r="B18" s="5" t="inlineStr">
        <is>
          <t>Employee 15</t>
        </is>
      </c>
      <c r="C18" s="5" t="inlineStr">
        <is>
          <t>HR</t>
        </is>
      </c>
      <c r="D18" s="10" t="n">
        <v>63297</v>
      </c>
      <c r="E18" s="6" t="n">
        <v>45505</v>
      </c>
      <c r="F18" s="2">
        <f>DATEDIF(E18,TODAY(),"Y")</f>
        <v/>
      </c>
      <c r="G18" s="2">
        <f>IF(D18&gt;=100000,"High",IF(D18&gt;=60000,"Medium","Low"))</f>
        <v/>
      </c>
    </row>
    <row r="19">
      <c r="A19" s="5" t="n">
        <v>3016</v>
      </c>
      <c r="B19" s="5" t="inlineStr">
        <is>
          <t>Employee 16</t>
        </is>
      </c>
      <c r="C19" s="5" t="inlineStr">
        <is>
          <t>Finance</t>
        </is>
      </c>
      <c r="D19" s="10" t="n">
        <v>114173</v>
      </c>
      <c r="E19" s="6" t="n">
        <v>45755</v>
      </c>
      <c r="F19" s="2">
        <f>DATEDIF(E19,TODAY(),"Y")</f>
        <v/>
      </c>
      <c r="G19" s="2">
        <f>IF(D19&gt;=100000,"High",IF(D19&gt;=60000,"Medium","Low"))</f>
        <v/>
      </c>
    </row>
    <row r="20">
      <c r="A20" s="5" t="n">
        <v>3017</v>
      </c>
      <c r="B20" s="5" t="inlineStr">
        <is>
          <t>Employee 17</t>
        </is>
      </c>
      <c r="C20" s="5" t="inlineStr">
        <is>
          <t>HR</t>
        </is>
      </c>
      <c r="D20" s="10" t="n">
        <v>86915</v>
      </c>
      <c r="E20" s="6" t="n">
        <v>46005</v>
      </c>
      <c r="F20" s="2">
        <f>DATEDIF(E20,TODAY(),"Y")</f>
        <v/>
      </c>
      <c r="G20" s="2">
        <f>IF(D20&gt;=100000,"High",IF(D20&gt;=60000,"Medium","Low"))</f>
        <v/>
      </c>
    </row>
    <row r="21">
      <c r="A21" s="5" t="n">
        <v>3018</v>
      </c>
      <c r="B21" s="5" t="inlineStr">
        <is>
          <t>Employee 18</t>
        </is>
      </c>
      <c r="C21" s="5" t="inlineStr">
        <is>
          <t>IT</t>
        </is>
      </c>
      <c r="D21" s="10" t="n">
        <v>116284</v>
      </c>
      <c r="E21" s="6" t="n">
        <v>46255</v>
      </c>
      <c r="F21" s="2">
        <f>DATEDIF(E21,TODAY(),"Y")</f>
        <v/>
      </c>
      <c r="G21" s="2">
        <f>IF(D21&gt;=100000,"High",IF(D21&gt;=60000,"Medium","Low"))</f>
        <v/>
      </c>
    </row>
    <row r="22">
      <c r="A22" s="5" t="n">
        <v>3019</v>
      </c>
      <c r="B22" s="5" t="inlineStr">
        <is>
          <t>Employee 19</t>
        </is>
      </c>
      <c r="C22" s="5" t="inlineStr">
        <is>
          <t>Marketing</t>
        </is>
      </c>
      <c r="D22" s="10" t="n">
        <v>116283</v>
      </c>
      <c r="E22" s="6" t="n">
        <v>46505</v>
      </c>
      <c r="F22" s="2">
        <f>DATEDIF(E22,TODAY(),"Y")</f>
        <v/>
      </c>
      <c r="G22" s="2">
        <f>IF(D22&gt;=100000,"High",IF(D22&gt;=60000,"Medium","Low"))</f>
        <v/>
      </c>
    </row>
    <row r="23">
      <c r="A23" s="5" t="n">
        <v>3020</v>
      </c>
      <c r="B23" s="5" t="inlineStr">
        <is>
          <t>Employee 20</t>
        </is>
      </c>
      <c r="C23" s="5" t="inlineStr">
        <is>
          <t>Marketing</t>
        </is>
      </c>
      <c r="D23" s="10" t="n">
        <v>99924</v>
      </c>
      <c r="E23" s="6" t="n">
        <v>46755</v>
      </c>
      <c r="F23" s="2">
        <f>DATEDIF(E23,TODAY(),"Y")</f>
        <v/>
      </c>
      <c r="G23" s="2">
        <f>IF(D23&gt;=100000,"High",IF(D23&gt;=60000,"Medium","Low"))</f>
        <v/>
      </c>
    </row>
  </sheetData>
  <autoFilter ref="A3:G23"/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70" customWidth="1" min="3" max="3"/>
    <col width="24" customWidth="1" min="4" max="4"/>
  </cols>
  <sheetData>
    <row r="1">
      <c r="A1" s="3" t="inlineStr">
        <is>
          <t>Excel Fundamental Functions Practice</t>
        </is>
      </c>
    </row>
    <row r="2"/>
    <row r="3">
      <c r="A3" s="9" t="inlineStr">
        <is>
          <t>Function</t>
        </is>
      </c>
      <c r="B3" s="9" t="inlineStr">
        <is>
          <t>Purpose</t>
        </is>
      </c>
      <c r="C3" s="9" t="inlineStr">
        <is>
          <t>Example Formula</t>
        </is>
      </c>
      <c r="D3" s="9" t="inlineStr">
        <is>
          <t>Result / Usage</t>
        </is>
      </c>
    </row>
    <row r="4">
      <c r="A4" s="2" t="inlineStr">
        <is>
          <t>IF</t>
        </is>
      </c>
      <c r="B4" s="2" t="inlineStr">
        <is>
          <t>Conditional classification</t>
        </is>
      </c>
      <c r="C4" s="2">
        <f>IF(85&gt;=80,"A","B")</f>
        <v/>
      </c>
      <c r="D4" s="2" t="inlineStr">
        <is>
          <t>A</t>
        </is>
      </c>
    </row>
    <row r="5">
      <c r="A5" s="2" t="inlineStr">
        <is>
          <t>IF + AND</t>
        </is>
      </c>
      <c r="B5" s="2" t="inlineStr">
        <is>
          <t>Multiple conditions</t>
        </is>
      </c>
      <c r="C5" s="2">
        <f>IF(AND(90&gt;80,85&gt;80),"Eligible","No")</f>
        <v/>
      </c>
      <c r="D5" s="2" t="inlineStr">
        <is>
          <t>Eligible</t>
        </is>
      </c>
    </row>
    <row r="6">
      <c r="A6" s="2" t="inlineStr">
        <is>
          <t>IF + OR</t>
        </is>
      </c>
      <c r="B6" s="2" t="inlineStr">
        <is>
          <t>Either condition</t>
        </is>
      </c>
      <c r="C6" s="2">
        <f>IF(OR(90&gt;80,50&gt;80),"Eligible","No")</f>
        <v/>
      </c>
      <c r="D6" s="2" t="inlineStr">
        <is>
          <t>Eligible</t>
        </is>
      </c>
    </row>
    <row r="7">
      <c r="A7" s="2" t="inlineStr">
        <is>
          <t>COUNTIFS</t>
        </is>
      </c>
      <c r="B7" s="2" t="inlineStr">
        <is>
          <t>Count multiple criteria</t>
        </is>
      </c>
      <c r="C7" s="2">
        <f>COUNTIFS(Students!C4:C23,"&gt;60")</f>
        <v/>
      </c>
      <c r="D7" s="2" t="inlineStr">
        <is>
          <t>Student count</t>
        </is>
      </c>
    </row>
    <row r="8">
      <c r="A8" s="2" t="inlineStr">
        <is>
          <t>SUMIFS</t>
        </is>
      </c>
      <c r="B8" s="2" t="inlineStr">
        <is>
          <t>Sum with conditions</t>
        </is>
      </c>
      <c r="C8" s="2">
        <f>SUMIFS(Sales!E4:E23,Sales!C4:C23,"South")</f>
        <v/>
      </c>
      <c r="D8" s="2" t="inlineStr">
        <is>
          <t>Sales total</t>
        </is>
      </c>
    </row>
    <row r="9">
      <c r="A9" s="2" t="inlineStr">
        <is>
          <t>AVERAGEIFS</t>
        </is>
      </c>
      <c r="B9" s="2" t="inlineStr">
        <is>
          <t>Average with criteria</t>
        </is>
      </c>
      <c r="C9" s="2">
        <f>AVERAGEIFS(Sales!E4:E23,Sales!C4:C23,"East")</f>
        <v/>
      </c>
      <c r="D9" s="2" t="inlineStr">
        <is>
          <t>Average</t>
        </is>
      </c>
    </row>
    <row r="10">
      <c r="A10" s="2" t="inlineStr">
        <is>
          <t>VLOOKUP</t>
        </is>
      </c>
      <c r="B10" s="2" t="inlineStr">
        <is>
          <t>Vertical lookup</t>
        </is>
      </c>
      <c r="C10" s="2">
        <f>VLOOKUP("Laptop",Sales!K4:L8,2,FALSE)</f>
        <v/>
      </c>
      <c r="D10" s="2" t="inlineStr">
        <is>
          <t>Product price</t>
        </is>
      </c>
    </row>
    <row r="11">
      <c r="A11" s="2" t="inlineStr">
        <is>
          <t>XLOOKUP</t>
        </is>
      </c>
      <c r="B11" s="2" t="inlineStr">
        <is>
          <t>Flexible lookup</t>
        </is>
      </c>
      <c r="C11" s="2">
        <f>XLOOKUP(3008,Employees!A4:A23,Employees!D4:D23)</f>
        <v/>
      </c>
      <c r="D11" s="2" t="inlineStr">
        <is>
          <t>Employee salary</t>
        </is>
      </c>
    </row>
    <row r="12">
      <c r="A12" s="2" t="inlineStr">
        <is>
          <t>INDEX/MATCH</t>
        </is>
      </c>
      <c r="B12" s="2" t="inlineStr">
        <is>
          <t>Dynamic lookup</t>
        </is>
      </c>
      <c r="C12" s="2">
        <f>INDEX(Sales!E4:E23,MATCH("Person 10",Sales!D4:D23,0))</f>
        <v/>
      </c>
      <c r="D12" s="2" t="inlineStr">
        <is>
          <t>Sales value</t>
        </is>
      </c>
    </row>
    <row r="13">
      <c r="A13" s="2" t="inlineStr">
        <is>
          <t>LEFT + FIND</t>
        </is>
      </c>
      <c r="B13" s="2" t="inlineStr">
        <is>
          <t>Extract first name</t>
        </is>
      </c>
      <c r="C13" s="2">
        <f>LEFT("John Smith",FIND(" ","John Smith")-1)</f>
        <v/>
      </c>
      <c r="D13" s="2" t="inlineStr">
        <is>
          <t>John</t>
        </is>
      </c>
    </row>
    <row r="14">
      <c r="A14" s="2" t="inlineStr">
        <is>
          <t>UPPER</t>
        </is>
      </c>
      <c r="B14" s="2" t="inlineStr">
        <is>
          <t>Uppercase text</t>
        </is>
      </c>
      <c r="C14" s="2">
        <f>UPPER("excel")</f>
        <v/>
      </c>
      <c r="D14" s="2" t="inlineStr">
        <is>
          <t>EXCEL</t>
        </is>
      </c>
    </row>
    <row r="15">
      <c r="A15" s="2" t="inlineStr">
        <is>
          <t>LOWER</t>
        </is>
      </c>
      <c r="B15" s="2" t="inlineStr">
        <is>
          <t>Lowercase text</t>
        </is>
      </c>
      <c r="C15" s="2">
        <f>LOWER("EXCEL")</f>
        <v/>
      </c>
      <c r="D15" s="2" t="inlineStr">
        <is>
          <t>excel</t>
        </is>
      </c>
    </row>
    <row r="16">
      <c r="A16" s="2" t="inlineStr">
        <is>
          <t>XMATCH</t>
        </is>
      </c>
      <c r="B16" s="2" t="inlineStr">
        <is>
          <t>Find position</t>
        </is>
      </c>
      <c r="C16" s="2">
        <f>XMATCH("Laptop",Sales!K4:K8)</f>
        <v/>
      </c>
      <c r="D16" s="2" t="inlineStr">
        <is>
          <t>Position</t>
        </is>
      </c>
    </row>
    <row r="17">
      <c r="A17" s="2" t="inlineStr">
        <is>
          <t>INDIRECT</t>
        </is>
      </c>
      <c r="B17" s="2" t="inlineStr">
        <is>
          <t>Dynamic reference</t>
        </is>
      </c>
      <c r="C17" s="2">
        <f>INDIRECT("E4")</f>
        <v/>
      </c>
      <c r="D17" s="2" t="inlineStr">
        <is>
          <t>Cell value</t>
        </is>
      </c>
    </row>
    <row r="18">
      <c r="A18" s="2" t="inlineStr">
        <is>
          <t>OFFSET</t>
        </is>
      </c>
      <c r="B18" s="2" t="inlineStr">
        <is>
          <t>Dynamic range/reference</t>
        </is>
      </c>
      <c r="C18" s="2">
        <f>OFFSET(Sales!E4,2,0)</f>
        <v/>
      </c>
      <c r="D18" s="2" t="inlineStr">
        <is>
          <t>Cell value</t>
        </is>
      </c>
    </row>
    <row r="19">
      <c r="A19" s="2" t="inlineStr">
        <is>
          <t>DATEDIF</t>
        </is>
      </c>
      <c r="B19" s="2" t="inlineStr">
        <is>
          <t>Date difference</t>
        </is>
      </c>
      <c r="C19" s="2">
        <f>DATEDIF(DATE(2018,1,1),TODAY(),"Y")</f>
        <v/>
      </c>
      <c r="D19" s="2" t="inlineStr">
        <is>
          <t>Years</t>
        </is>
      </c>
    </row>
    <row r="20">
      <c r="A20" s="2" t="inlineStr">
        <is>
          <t>ROUND</t>
        </is>
      </c>
      <c r="B20" s="2" t="inlineStr">
        <is>
          <t>Round number</t>
        </is>
      </c>
      <c r="C20" s="2">
        <f>ROUND(1234.567,2)</f>
        <v/>
      </c>
      <c r="D20" s="2" t="inlineStr">
        <is>
          <t>1234.57</t>
        </is>
      </c>
    </row>
    <row r="21">
      <c r="A21" s="2" t="inlineStr">
        <is>
          <t>CEILING</t>
        </is>
      </c>
      <c r="B21" s="2" t="inlineStr">
        <is>
          <t>Round upward</t>
        </is>
      </c>
      <c r="C21" s="2">
        <f>CEILING(1234.1,100)</f>
        <v/>
      </c>
      <c r="D21" s="2" t="inlineStr">
        <is>
          <t>1300</t>
        </is>
      </c>
    </row>
    <row r="22">
      <c r="A22" s="2" t="inlineStr">
        <is>
          <t>FLOOR</t>
        </is>
      </c>
      <c r="B22" s="2" t="inlineStr">
        <is>
          <t>Round downward</t>
        </is>
      </c>
      <c r="C22" s="2">
        <f>FLOOR(1234.9,100)</f>
        <v/>
      </c>
      <c r="D22" s="2" t="inlineStr">
        <is>
          <t>1200</t>
        </is>
      </c>
    </row>
    <row r="23">
      <c r="A23" s="2" t="inlineStr">
        <is>
          <t>FILTER</t>
        </is>
      </c>
      <c r="B23" s="2" t="inlineStr">
        <is>
          <t>Return matching rows</t>
        </is>
      </c>
      <c r="C23" s="2">
        <f>FILTER(Students!A4:J23,(Students!C4:C23+Students!D4:D23+Students!E4:E23)/3&gt;80,"No students")</f>
        <v/>
      </c>
      <c r="D23" s="2" t="inlineStr">
        <is>
          <t>Top students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2026-10-04T11:58:27Z</dcterms:created>
  <dcterms:modified xmlns:dcterms="http://purl.org/dc/terms/" xmlns:xsi="http://www.w3.org/2001/XMLSchema-instance" xsi:type="dcterms:W3CDTF">2026-10-04T11:58:27Z</dcterms:modified>
</cp:coreProperties>
</file>